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DO\Downloads\"/>
    </mc:Choice>
  </mc:AlternateContent>
  <xr:revisionPtr revIDLastSave="0" documentId="8_{0FA94C1B-0D0F-4BDA-98C7-21C2FEDF4634}" xr6:coauthVersionLast="47" xr6:coauthVersionMax="47" xr10:uidLastSave="{00000000-0000-0000-0000-000000000000}"/>
  <bookViews>
    <workbookView xWindow="-120" yWindow="-120" windowWidth="20730" windowHeight="11040" activeTab="1" xr2:uid="{E7CDB466-2944-451C-82FD-D4062D03941A}"/>
  </bookViews>
  <sheets>
    <sheet name="Planilha1" sheetId="1" r:id="rId1"/>
    <sheet name="base receita coban" sheetId="2" r:id="rId2"/>
    <sheet name="Planilha4" sheetId="4" r:id="rId3"/>
    <sheet name="Base Comissõ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2" i="4" s="1"/>
  <c r="F2" i="4"/>
  <c r="E12" i="4"/>
  <c r="F12" i="4"/>
  <c r="E13" i="4"/>
  <c r="F13" i="4"/>
  <c r="E14" i="4"/>
  <c r="F14" i="4"/>
  <c r="F11" i="4"/>
  <c r="E11" i="4"/>
  <c r="D12" i="4"/>
  <c r="D13" i="4"/>
  <c r="D14" i="4"/>
  <c r="D11" i="4"/>
  <c r="C12" i="4"/>
  <c r="C13" i="4"/>
  <c r="C14" i="4"/>
  <c r="C11" i="4"/>
  <c r="B12" i="4"/>
  <c r="B13" i="4"/>
  <c r="B14" i="4"/>
  <c r="B11" i="4"/>
  <c r="B9" i="4"/>
  <c r="A3" i="4" s="1"/>
  <c r="A2" i="4"/>
  <c r="C9" i="4"/>
  <c r="D9" i="4"/>
  <c r="E9" i="4"/>
  <c r="F9" i="4"/>
  <c r="D39" i="2"/>
  <c r="D40" i="2"/>
  <c r="D41" i="2"/>
  <c r="D38" i="2"/>
  <c r="B29" i="2"/>
  <c r="B30" i="2"/>
  <c r="B28" i="2"/>
  <c r="B26" i="2"/>
  <c r="B27" i="2"/>
  <c r="B25" i="2"/>
  <c r="H22" i="2"/>
  <c r="J22" i="2"/>
  <c r="H23" i="2" l="1"/>
  <c r="C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tc={0BC90F96-4EBD-406A-B7A5-A63F74C4AB0F}</author>
  </authors>
  <commentList>
    <comment ref="A21" authorId="0" shapeId="0" xr:uid="{0BC90F96-4EBD-406A-B7A5-A63F74C4AB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Vendas 
Responder:
    Data de corte todo dia 19: cliente precisa- ter pago a primeira parcela em dia -ter participado de uma assembleia (vide caqrtilha)
Responder:
    O corte dessa venda foi para abril, devido a não ter participado de uma assembleia</t>
      </text>
    </comment>
  </commentList>
</comments>
</file>

<file path=xl/sharedStrings.xml><?xml version="1.0" encoding="utf-8"?>
<sst xmlns="http://schemas.openxmlformats.org/spreadsheetml/2006/main" count="128" uniqueCount="69">
  <si>
    <t>ideia de venda</t>
  </si>
  <si>
    <t>Data</t>
  </si>
  <si>
    <t>Grupo</t>
  </si>
  <si>
    <t>Seguimento</t>
  </si>
  <si>
    <t>Contrato</t>
  </si>
  <si>
    <t>Coban</t>
  </si>
  <si>
    <t>bbts</t>
  </si>
  <si>
    <t>COBAN</t>
  </si>
  <si>
    <t>IMOVEIS</t>
  </si>
  <si>
    <t>MOVEIS</t>
  </si>
  <si>
    <t>0 a 500 mil</t>
  </si>
  <si>
    <t>500 a 1,5 mi</t>
  </si>
  <si>
    <t>1,5 a 5 mi</t>
  </si>
  <si>
    <t>ISF</t>
  </si>
  <si>
    <t>BENS IMOVEIS</t>
  </si>
  <si>
    <t>ACIMA DE 5 MI</t>
  </si>
  <si>
    <t>Porcentagem</t>
  </si>
  <si>
    <t>BENS MOVEIS E OUTROS BENS</t>
  </si>
  <si>
    <t>1ª ate a 10° parcela 0,35</t>
  </si>
  <si>
    <t>1ª ate a 10° parcela 0,375</t>
  </si>
  <si>
    <t>1ª ate a 10° parcela 0,43</t>
  </si>
  <si>
    <t>Parcelamento Recebível%</t>
  </si>
  <si>
    <t>Faixa 1</t>
  </si>
  <si>
    <t>Faixa 2</t>
  </si>
  <si>
    <t>Faixa 3</t>
  </si>
  <si>
    <t>Faixa 4</t>
  </si>
  <si>
    <t>4ª até  5ª 0,50</t>
  </si>
  <si>
    <t>4ª até  6ª 0,60</t>
  </si>
  <si>
    <t>6ª  0,45</t>
  </si>
  <si>
    <t>6ª  0,35</t>
  </si>
  <si>
    <t>6ª parcela 0,25</t>
  </si>
  <si>
    <t xml:space="preserve">1ª ate a 5ª parcela 0,45 </t>
  </si>
  <si>
    <t xml:space="preserve">1ª ate a 3ª  parcela 0,55 </t>
  </si>
  <si>
    <t xml:space="preserve">1ª ate a 3ª parcela 0,65 </t>
  </si>
  <si>
    <t>1ª ate a 5ª parcela 0,77</t>
  </si>
  <si>
    <t xml:space="preserve">1ª ate a 10ª parcela 0,25 </t>
  </si>
  <si>
    <t>Exemplo de uma venda de 2,5 milhoes em imoveis</t>
  </si>
  <si>
    <t>venda</t>
  </si>
  <si>
    <t>Enquadramento combo</t>
  </si>
  <si>
    <t>Tipo Lista suspensa</t>
  </si>
  <si>
    <t>Moveis e Outros</t>
  </si>
  <si>
    <t>% calculo</t>
  </si>
  <si>
    <t>Valor Bem</t>
  </si>
  <si>
    <t>parcelas</t>
  </si>
  <si>
    <t>Data (a data define a data de corte)</t>
  </si>
  <si>
    <t>Comissão</t>
  </si>
  <si>
    <t>Após gerar a base sistema aprovisiona as receitas com base no parcelamanto</t>
  </si>
  <si>
    <t>coban</t>
  </si>
  <si>
    <t>coban- vendedor</t>
  </si>
  <si>
    <t>Tabela Vendedor</t>
  </si>
  <si>
    <t>0 a 999 mil</t>
  </si>
  <si>
    <t>1 mi a 3,5</t>
  </si>
  <si>
    <t>3,5 mi acima</t>
  </si>
  <si>
    <t>Vendedor (lista suspensa)</t>
  </si>
  <si>
    <t>Faixa do Vendedor</t>
  </si>
  <si>
    <t>faixa 2</t>
  </si>
  <si>
    <t>Coordendor</t>
  </si>
  <si>
    <r>
      <t xml:space="preserve">Se o conglomerado do </t>
    </r>
    <r>
      <rPr>
        <b/>
        <sz val="11"/>
        <color theme="1"/>
        <rFont val="Aptos Narrow"/>
        <family val="2"/>
        <scheme val="minor"/>
      </rPr>
      <t>MÊS</t>
    </r>
    <r>
      <rPr>
        <sz val="11"/>
        <color theme="1"/>
        <rFont val="Aptos Narrow"/>
        <family val="2"/>
        <scheme val="minor"/>
      </rPr>
      <t xml:space="preserve"> superar 3,5 mi, coordendor ganha rebote de 0,2</t>
    </r>
  </si>
  <si>
    <t>Ademar</t>
  </si>
  <si>
    <t>Juliano</t>
  </si>
  <si>
    <t>Gildo</t>
  </si>
  <si>
    <t>Douglas</t>
  </si>
  <si>
    <t>Joao</t>
  </si>
  <si>
    <t>Rebote- ok</t>
  </si>
  <si>
    <t>LB</t>
  </si>
  <si>
    <t>Custos Fixos e Variav</t>
  </si>
  <si>
    <t>Ate 178 meses paga em 6 x</t>
  </si>
  <si>
    <t>Acima de 178 meses 10 x</t>
  </si>
  <si>
    <t>Independente do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</si>
</sst>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73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Segoe UI"/>
      <family val="2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3" applyNumberFormat="1" applyFont="1"/>
    <xf numFmtId="10" fontId="0" fillId="0" borderId="0" xfId="3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3" applyNumberFormat="1" applyFont="1" applyAlignment="1">
      <alignment horizontal="center"/>
    </xf>
    <xf numFmtId="10" fontId="0" fillId="0" borderId="0" xfId="3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43" fontId="0" fillId="0" borderId="0" xfId="1" applyFont="1"/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0" fontId="0" fillId="2" borderId="0" xfId="3" applyNumberFormat="1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44" fontId="0" fillId="0" borderId="0" xfId="2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/>
    <xf numFmtId="44" fontId="0" fillId="0" borderId="0" xfId="0" applyNumberFormat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44" fontId="0" fillId="0" borderId="0" xfId="2" applyFont="1" applyAlignment="1">
      <alignment horizontal="center"/>
    </xf>
    <xf numFmtId="173" fontId="0" fillId="0" borderId="0" xfId="3" applyNumberFormat="1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K2849" id="{A5FFFCE5-BAA2-4897-B5A3-F1BB3ABFCF5F}" userId="S::AK2849@best365.me::53a46ec6-c0a2-42d5-8d7e-80aca0cfef0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dT="2026-02-14T18:57:56.30" personId="{A5FFFCE5-BAA2-4897-B5A3-F1BB3ABFCF5F}" id="{0BC90F96-4EBD-406A-B7A5-A63F74C4AB0F}">
    <text xml:space="preserve">Vendas </text>
  </threadedComment>
  <threadedComment ref="A21" dT="2026-02-14T19:10:57.76" personId="{A5FFFCE5-BAA2-4897-B5A3-F1BB3ABFCF5F}" id="{FE095BE5-D8FF-42F7-828F-3414EE2DCB0F}" parentId="{0BC90F96-4EBD-406A-B7A5-A63F74C4AB0F}">
    <text>Data de corte todo dia 19: cliente precisa- ter pago a primeira parcela em dia -ter participado de uma assembleia (vide caqrtilha)</text>
  </threadedComment>
  <threadedComment ref="A21" dT="2026-02-14T19:11:17.48" personId="{A5FFFCE5-BAA2-4897-B5A3-F1BB3ABFCF5F}" id="{C364612A-5B73-4FF6-81D3-79CF219996E0}" parentId="{0BC90F96-4EBD-406A-B7A5-A63F74C4AB0F}">
    <text>O corte dessa venda foi para abril, devido a não ter participado de uma assembleia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8CF5-B017-427B-9772-D3E69EC612FA}">
  <dimension ref="A1:E4"/>
  <sheetViews>
    <sheetView workbookViewId="0">
      <selection activeCell="E3" sqref="E3"/>
    </sheetView>
  </sheetViews>
  <sheetFormatPr defaultRowHeight="15" x14ac:dyDescent="0.25"/>
  <cols>
    <col min="3" max="3" width="11.285156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E4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705C-6C33-45BB-91B2-AC8CD98E3760}">
  <dimension ref="A2:M41"/>
  <sheetViews>
    <sheetView showGridLines="0" tabSelected="1" workbookViewId="0">
      <selection activeCell="J17" sqref="J17"/>
    </sheetView>
  </sheetViews>
  <sheetFormatPr defaultRowHeight="15" x14ac:dyDescent="0.25"/>
  <cols>
    <col min="1" max="1" width="14" customWidth="1"/>
    <col min="2" max="2" width="15.85546875" bestFit="1" customWidth="1"/>
    <col min="3" max="3" width="15.85546875" customWidth="1"/>
    <col min="4" max="4" width="15" style="1" customWidth="1"/>
    <col min="5" max="5" width="16.140625" style="1" customWidth="1"/>
    <col min="6" max="6" width="16" bestFit="1" customWidth="1"/>
    <col min="7" max="7" width="14.85546875" style="1" customWidth="1"/>
    <col min="8" max="8" width="28" bestFit="1" customWidth="1"/>
    <col min="9" max="9" width="13.28515625" style="1" bestFit="1" customWidth="1"/>
    <col min="10" max="11" width="24" bestFit="1" customWidth="1"/>
    <col min="13" max="14" width="13.28515625" bestFit="1" customWidth="1"/>
  </cols>
  <sheetData>
    <row r="2" spans="2:12" x14ac:dyDescent="0.25">
      <c r="D2" s="1" t="s">
        <v>7</v>
      </c>
      <c r="F2" t="s">
        <v>8</v>
      </c>
      <c r="G2" s="1" t="s">
        <v>16</v>
      </c>
      <c r="H2" t="s">
        <v>9</v>
      </c>
      <c r="I2" s="1" t="s">
        <v>43</v>
      </c>
      <c r="J2" t="s">
        <v>21</v>
      </c>
      <c r="K2" t="s">
        <v>21</v>
      </c>
    </row>
    <row r="3" spans="2:12" x14ac:dyDescent="0.25">
      <c r="B3" s="5" t="s">
        <v>22</v>
      </c>
      <c r="C3" s="5"/>
      <c r="D3" s="5" t="s">
        <v>6</v>
      </c>
      <c r="E3" s="5"/>
      <c r="F3" t="s">
        <v>10</v>
      </c>
      <c r="G3" s="7">
        <v>2.5000000000000001E-2</v>
      </c>
      <c r="H3" t="s">
        <v>14</v>
      </c>
      <c r="I3" s="1">
        <v>10</v>
      </c>
      <c r="J3" t="s">
        <v>35</v>
      </c>
    </row>
    <row r="4" spans="2:12" x14ac:dyDescent="0.25">
      <c r="B4" s="5" t="s">
        <v>23</v>
      </c>
      <c r="C4" s="5"/>
      <c r="D4" s="5" t="s">
        <v>6</v>
      </c>
      <c r="E4" s="5"/>
      <c r="F4" t="s">
        <v>11</v>
      </c>
      <c r="G4" s="7">
        <v>0.03</v>
      </c>
      <c r="H4" t="s">
        <v>14</v>
      </c>
      <c r="I4" s="1">
        <v>10</v>
      </c>
      <c r="J4" t="s">
        <v>18</v>
      </c>
    </row>
    <row r="5" spans="2:12" x14ac:dyDescent="0.25">
      <c r="B5" s="5" t="s">
        <v>24</v>
      </c>
      <c r="C5" s="5"/>
      <c r="D5" s="5" t="s">
        <v>6</v>
      </c>
      <c r="E5" s="5"/>
      <c r="F5" t="s">
        <v>12</v>
      </c>
      <c r="G5" s="7">
        <v>3.7499999999999999E-2</v>
      </c>
      <c r="H5" t="s">
        <v>14</v>
      </c>
      <c r="I5" s="1">
        <v>10</v>
      </c>
      <c r="J5" t="s">
        <v>19</v>
      </c>
    </row>
    <row r="6" spans="2:12" x14ac:dyDescent="0.25">
      <c r="B6" s="5" t="s">
        <v>25</v>
      </c>
      <c r="C6" s="5"/>
      <c r="D6" s="5" t="s">
        <v>6</v>
      </c>
      <c r="E6" s="5"/>
      <c r="F6" t="s">
        <v>15</v>
      </c>
      <c r="G6" s="7">
        <v>4.2999999999999997E-2</v>
      </c>
      <c r="H6" t="s">
        <v>14</v>
      </c>
      <c r="I6" s="1">
        <v>10</v>
      </c>
      <c r="J6" t="s">
        <v>20</v>
      </c>
    </row>
    <row r="7" spans="2:12" s="5" customFormat="1" x14ac:dyDescent="0.25">
      <c r="B7" s="5" t="s">
        <v>22</v>
      </c>
      <c r="D7" s="5" t="s">
        <v>6</v>
      </c>
      <c r="F7" s="5" t="s">
        <v>10</v>
      </c>
      <c r="G7" s="8">
        <v>2.5000000000000001E-2</v>
      </c>
      <c r="H7" s="5" t="s">
        <v>17</v>
      </c>
      <c r="I7" s="5">
        <v>6</v>
      </c>
      <c r="J7" s="9" t="s">
        <v>31</v>
      </c>
      <c r="K7" s="5" t="s">
        <v>30</v>
      </c>
    </row>
    <row r="8" spans="2:12" s="5" customFormat="1" x14ac:dyDescent="0.25">
      <c r="B8" s="5" t="s">
        <v>23</v>
      </c>
      <c r="D8" s="5" t="s">
        <v>6</v>
      </c>
      <c r="F8" s="5" t="s">
        <v>11</v>
      </c>
      <c r="G8" s="8">
        <v>0.03</v>
      </c>
      <c r="H8" s="5" t="s">
        <v>17</v>
      </c>
      <c r="I8" s="5">
        <v>6</v>
      </c>
      <c r="J8" s="9" t="s">
        <v>32</v>
      </c>
      <c r="K8" s="5" t="s">
        <v>26</v>
      </c>
      <c r="L8" s="5" t="s">
        <v>29</v>
      </c>
    </row>
    <row r="9" spans="2:12" s="5" customFormat="1" x14ac:dyDescent="0.25">
      <c r="B9" s="15" t="s">
        <v>24</v>
      </c>
      <c r="C9" s="15"/>
      <c r="D9" s="15" t="s">
        <v>6</v>
      </c>
      <c r="E9" s="15"/>
      <c r="F9" s="15" t="s">
        <v>12</v>
      </c>
      <c r="G9" s="16">
        <v>3.7499999999999999E-2</v>
      </c>
      <c r="H9" s="15" t="s">
        <v>17</v>
      </c>
      <c r="I9" s="15">
        <v>6</v>
      </c>
      <c r="J9" s="17" t="s">
        <v>33</v>
      </c>
      <c r="K9" s="15" t="s">
        <v>27</v>
      </c>
      <c r="L9" s="15"/>
    </row>
    <row r="10" spans="2:12" s="5" customFormat="1" x14ac:dyDescent="0.25">
      <c r="B10" s="5" t="s">
        <v>25</v>
      </c>
      <c r="D10" s="5" t="s">
        <v>6</v>
      </c>
      <c r="F10" s="5" t="s">
        <v>15</v>
      </c>
      <c r="G10" s="8">
        <v>4.2999999999999997E-2</v>
      </c>
      <c r="H10" s="5" t="s">
        <v>17</v>
      </c>
      <c r="I10" s="5">
        <v>6</v>
      </c>
      <c r="J10" s="9" t="s">
        <v>34</v>
      </c>
      <c r="K10" s="5" t="s">
        <v>28</v>
      </c>
    </row>
    <row r="13" spans="2:12" x14ac:dyDescent="0.25">
      <c r="D13" s="1" t="s">
        <v>13</v>
      </c>
      <c r="G13" s="29">
        <v>2.5000000000000001E-2</v>
      </c>
      <c r="H13" t="s">
        <v>17</v>
      </c>
      <c r="I13" s="1">
        <v>4</v>
      </c>
      <c r="J13" t="s">
        <v>68</v>
      </c>
    </row>
    <row r="14" spans="2:12" x14ac:dyDescent="0.25">
      <c r="D14" s="1" t="s">
        <v>13</v>
      </c>
      <c r="G14" s="29">
        <v>2.5000000000000001E-2</v>
      </c>
      <c r="H14" t="s">
        <v>14</v>
      </c>
      <c r="I14" s="1">
        <v>6</v>
      </c>
      <c r="J14" t="s">
        <v>66</v>
      </c>
    </row>
    <row r="15" spans="2:12" x14ac:dyDescent="0.25">
      <c r="D15" s="1" t="s">
        <v>13</v>
      </c>
      <c r="G15" s="29">
        <v>2.5000000000000001E-2</v>
      </c>
      <c r="H15" t="s">
        <v>17</v>
      </c>
      <c r="I15" s="1">
        <v>10</v>
      </c>
      <c r="J15" t="s">
        <v>67</v>
      </c>
    </row>
    <row r="20" spans="1:13" x14ac:dyDescent="0.25">
      <c r="B20" t="s">
        <v>36</v>
      </c>
    </row>
    <row r="21" spans="1:13" s="6" customFormat="1" ht="45" x14ac:dyDescent="0.25">
      <c r="A21" s="19" t="s">
        <v>44</v>
      </c>
      <c r="B21" s="6" t="s">
        <v>37</v>
      </c>
      <c r="C21" s="6" t="s">
        <v>45</v>
      </c>
      <c r="D21" s="19" t="s">
        <v>39</v>
      </c>
      <c r="E21" s="10" t="s">
        <v>53</v>
      </c>
      <c r="F21" s="10" t="s">
        <v>38</v>
      </c>
      <c r="G21" t="s">
        <v>21</v>
      </c>
      <c r="H21" s="6" t="s">
        <v>41</v>
      </c>
      <c r="I21" t="s">
        <v>21</v>
      </c>
      <c r="K21" t="s">
        <v>21</v>
      </c>
      <c r="M21" s="5" t="s">
        <v>42</v>
      </c>
    </row>
    <row r="22" spans="1:13" ht="30" x14ac:dyDescent="0.25">
      <c r="A22" s="20">
        <v>46071</v>
      </c>
      <c r="B22" s="18">
        <v>2500000</v>
      </c>
      <c r="C22" s="18">
        <f>B22*H23/100</f>
        <v>93750</v>
      </c>
      <c r="D22" s="1" t="s">
        <v>40</v>
      </c>
      <c r="F22" s="1" t="s">
        <v>24</v>
      </c>
      <c r="G22" s="9" t="s">
        <v>33</v>
      </c>
      <c r="H22" s="12">
        <f>0.65*3</f>
        <v>1.9500000000000002</v>
      </c>
      <c r="I22" s="5" t="s">
        <v>27</v>
      </c>
      <c r="J22">
        <f>0.6*3</f>
        <v>1.7999999999999998</v>
      </c>
      <c r="K22" s="5"/>
      <c r="M22" s="13">
        <v>2500000</v>
      </c>
    </row>
    <row r="23" spans="1:13" x14ac:dyDescent="0.25">
      <c r="H23" s="14">
        <f>H22+J22+L22</f>
        <v>3.75</v>
      </c>
      <c r="I23" s="2"/>
      <c r="J23" s="2"/>
      <c r="K23" s="2"/>
      <c r="L23" s="2"/>
    </row>
    <row r="24" spans="1:13" x14ac:dyDescent="0.25">
      <c r="A24" s="22" t="s">
        <v>46</v>
      </c>
    </row>
    <row r="25" spans="1:13" x14ac:dyDescent="0.25">
      <c r="A25" s="21">
        <v>46127</v>
      </c>
      <c r="B25" s="23">
        <f>$B$22*0.65%</f>
        <v>16250.000000000002</v>
      </c>
      <c r="C25" t="s">
        <v>47</v>
      </c>
      <c r="D25" s="1" t="s">
        <v>6</v>
      </c>
    </row>
    <row r="26" spans="1:13" x14ac:dyDescent="0.25">
      <c r="A26" s="21">
        <v>46157</v>
      </c>
      <c r="B26" s="23">
        <f t="shared" ref="B26:B27" si="0">$B$22*0.65%</f>
        <v>16250.000000000002</v>
      </c>
      <c r="C26" t="s">
        <v>47</v>
      </c>
      <c r="D26" s="1" t="s">
        <v>6</v>
      </c>
    </row>
    <row r="27" spans="1:13" x14ac:dyDescent="0.25">
      <c r="A27" s="21">
        <v>46188</v>
      </c>
      <c r="B27" s="23">
        <f t="shared" si="0"/>
        <v>16250.000000000002</v>
      </c>
      <c r="C27" t="s">
        <v>47</v>
      </c>
      <c r="D27" s="1" t="s">
        <v>6</v>
      </c>
    </row>
    <row r="28" spans="1:13" x14ac:dyDescent="0.25">
      <c r="A28" s="21">
        <v>46218</v>
      </c>
      <c r="B28" s="23">
        <f>$B$22*0.6%</f>
        <v>15000</v>
      </c>
      <c r="C28" t="s">
        <v>47</v>
      </c>
      <c r="D28" s="1" t="s">
        <v>6</v>
      </c>
    </row>
    <row r="29" spans="1:13" x14ac:dyDescent="0.25">
      <c r="A29" s="21">
        <v>46249</v>
      </c>
      <c r="B29" s="23">
        <f t="shared" ref="B29:B30" si="1">$B$22*0.6%</f>
        <v>15000</v>
      </c>
      <c r="C29" t="s">
        <v>47</v>
      </c>
      <c r="D29" s="1" t="s">
        <v>6</v>
      </c>
    </row>
    <row r="30" spans="1:13" x14ac:dyDescent="0.25">
      <c r="A30" s="21">
        <v>46280</v>
      </c>
      <c r="B30" s="23">
        <f t="shared" si="1"/>
        <v>15000</v>
      </c>
      <c r="C30" t="s">
        <v>47</v>
      </c>
      <c r="D30" s="1" t="s">
        <v>6</v>
      </c>
    </row>
    <row r="31" spans="1:13" x14ac:dyDescent="0.25">
      <c r="A31" s="21"/>
    </row>
    <row r="32" spans="1:13" x14ac:dyDescent="0.25">
      <c r="A32" t="s">
        <v>49</v>
      </c>
      <c r="F32" s="2" t="s">
        <v>56</v>
      </c>
      <c r="G32" s="2"/>
      <c r="H32" s="2"/>
    </row>
    <row r="33" spans="1:7" x14ac:dyDescent="0.25">
      <c r="A33" t="s">
        <v>50</v>
      </c>
      <c r="B33" s="24">
        <v>8.0000000000000002E-3</v>
      </c>
      <c r="C33" t="s">
        <v>22</v>
      </c>
      <c r="E33" s="1">
        <v>1</v>
      </c>
      <c r="F33" t="s">
        <v>57</v>
      </c>
    </row>
    <row r="34" spans="1:7" x14ac:dyDescent="0.25">
      <c r="A34" t="s">
        <v>51</v>
      </c>
      <c r="B34" s="25">
        <v>0.01</v>
      </c>
      <c r="C34" t="s">
        <v>23</v>
      </c>
      <c r="E34" s="1">
        <v>1</v>
      </c>
    </row>
    <row r="35" spans="1:7" x14ac:dyDescent="0.25">
      <c r="A35" t="s">
        <v>52</v>
      </c>
      <c r="B35" s="24">
        <v>1.2E-2</v>
      </c>
      <c r="C35" t="s">
        <v>24</v>
      </c>
      <c r="E35" s="1">
        <v>1.2</v>
      </c>
    </row>
    <row r="36" spans="1:7" x14ac:dyDescent="0.25">
      <c r="B36" s="24"/>
    </row>
    <row r="37" spans="1:7" ht="19.5" x14ac:dyDescent="0.3">
      <c r="A37" s="27" t="s">
        <v>54</v>
      </c>
      <c r="B37" s="27"/>
      <c r="C37" s="27"/>
      <c r="D37" s="27"/>
      <c r="E37" s="27"/>
      <c r="F37" s="27"/>
      <c r="G37" s="27"/>
    </row>
    <row r="38" spans="1:7" x14ac:dyDescent="0.25">
      <c r="A38" s="21">
        <v>46127</v>
      </c>
      <c r="B38" t="s">
        <v>55</v>
      </c>
      <c r="C38" s="24">
        <v>2.5000000000000001E-3</v>
      </c>
      <c r="D38" s="26">
        <f>$B$22*C38</f>
        <v>6250</v>
      </c>
      <c r="E38" t="s">
        <v>48</v>
      </c>
      <c r="F38" s="1" t="s">
        <v>6</v>
      </c>
    </row>
    <row r="39" spans="1:7" x14ac:dyDescent="0.25">
      <c r="A39" s="21">
        <v>46157</v>
      </c>
      <c r="B39" t="s">
        <v>55</v>
      </c>
      <c r="C39" s="24">
        <v>2.5000000000000001E-3</v>
      </c>
      <c r="D39" s="26">
        <f t="shared" ref="D39:D41" si="2">$B$22*C39</f>
        <v>6250</v>
      </c>
      <c r="E39" t="s">
        <v>48</v>
      </c>
      <c r="F39" s="1" t="s">
        <v>6</v>
      </c>
    </row>
    <row r="40" spans="1:7" x14ac:dyDescent="0.25">
      <c r="A40" s="21">
        <v>46188</v>
      </c>
      <c r="B40" t="s">
        <v>55</v>
      </c>
      <c r="C40" s="24">
        <v>2.5000000000000001E-3</v>
      </c>
      <c r="D40" s="26">
        <f t="shared" si="2"/>
        <v>6250</v>
      </c>
      <c r="E40" t="s">
        <v>48</v>
      </c>
      <c r="F40" s="1" t="s">
        <v>6</v>
      </c>
    </row>
    <row r="41" spans="1:7" x14ac:dyDescent="0.25">
      <c r="A41" s="21">
        <v>46218</v>
      </c>
      <c r="B41" t="s">
        <v>55</v>
      </c>
      <c r="C41" s="24">
        <v>2.5000000000000001E-3</v>
      </c>
      <c r="D41" s="26">
        <f t="shared" si="2"/>
        <v>6250</v>
      </c>
      <c r="E41" t="s">
        <v>48</v>
      </c>
      <c r="F41" s="1" t="s">
        <v>6</v>
      </c>
    </row>
  </sheetData>
  <mergeCells count="3">
    <mergeCell ref="H23:L23"/>
    <mergeCell ref="A37:G37"/>
    <mergeCell ref="F32:H32"/>
  </mergeCells>
  <phoneticPr fontId="3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8BD0-10DF-449A-9DE4-12D547F9EB12}">
  <dimension ref="A1:G14"/>
  <sheetViews>
    <sheetView workbookViewId="0">
      <selection activeCell="J11" sqref="J11"/>
    </sheetView>
  </sheetViews>
  <sheetFormatPr defaultRowHeight="15" x14ac:dyDescent="0.25"/>
  <cols>
    <col min="1" max="1" width="17" bestFit="1" customWidth="1"/>
    <col min="2" max="5" width="15.85546875" bestFit="1" customWidth="1"/>
    <col min="6" max="6" width="14.28515625" bestFit="1" customWidth="1"/>
    <col min="7" max="7" width="13.28515625" bestFit="1" customWidth="1"/>
  </cols>
  <sheetData>
    <row r="1" spans="1:7" x14ac:dyDescent="0.25">
      <c r="A1" s="18">
        <v>5500000</v>
      </c>
      <c r="B1" t="s">
        <v>24</v>
      </c>
      <c r="C1" s="3">
        <v>4.2299999999999997E-2</v>
      </c>
      <c r="G1" t="s">
        <v>65</v>
      </c>
    </row>
    <row r="2" spans="1:7" x14ac:dyDescent="0.25">
      <c r="A2" s="28">
        <f>A1*C1</f>
        <v>232649.99999999997</v>
      </c>
      <c r="B2" s="28"/>
      <c r="C2" s="28"/>
      <c r="D2" s="4">
        <f>1-D3</f>
        <v>0.68892645815722742</v>
      </c>
      <c r="F2" s="23">
        <f>A2-A3</f>
        <v>177449.99999999997</v>
      </c>
      <c r="G2" s="18">
        <v>12000</v>
      </c>
    </row>
    <row r="3" spans="1:7" x14ac:dyDescent="0.25">
      <c r="A3" s="28">
        <f>SUM(B9:F9)</f>
        <v>55200</v>
      </c>
      <c r="B3" s="28"/>
      <c r="C3" s="28"/>
      <c r="D3" s="4">
        <f>A3/F2</f>
        <v>0.31107354184277264</v>
      </c>
      <c r="F3" s="1" t="s">
        <v>64</v>
      </c>
    </row>
    <row r="5" spans="1:7" x14ac:dyDescent="0.25">
      <c r="B5" t="s">
        <v>61</v>
      </c>
      <c r="C5" t="s">
        <v>58</v>
      </c>
      <c r="D5" t="s">
        <v>59</v>
      </c>
      <c r="E5" t="s">
        <v>60</v>
      </c>
      <c r="F5" t="s">
        <v>62</v>
      </c>
    </row>
    <row r="6" spans="1:7" x14ac:dyDescent="0.25">
      <c r="B6" s="18">
        <v>1200000</v>
      </c>
      <c r="C6" s="18">
        <v>800000</v>
      </c>
      <c r="D6" s="18">
        <v>1700000</v>
      </c>
      <c r="E6" s="18">
        <v>1500000</v>
      </c>
      <c r="F6" s="18">
        <v>300000</v>
      </c>
    </row>
    <row r="7" spans="1:7" x14ac:dyDescent="0.25">
      <c r="B7" s="4">
        <v>0.01</v>
      </c>
      <c r="C7" s="7">
        <v>8.0000000000000002E-3</v>
      </c>
      <c r="D7" s="4">
        <v>0.01</v>
      </c>
      <c r="E7" s="4">
        <v>0.01</v>
      </c>
      <c r="F7" s="4">
        <v>8.0000000000000002E-3</v>
      </c>
    </row>
    <row r="8" spans="1:7" x14ac:dyDescent="0.25">
      <c r="A8" t="s">
        <v>63</v>
      </c>
      <c r="B8" s="11">
        <v>2E-3</v>
      </c>
      <c r="C8">
        <v>0</v>
      </c>
      <c r="D8">
        <v>0</v>
      </c>
      <c r="E8">
        <v>0</v>
      </c>
      <c r="F8">
        <v>0</v>
      </c>
    </row>
    <row r="9" spans="1:7" x14ac:dyDescent="0.25">
      <c r="B9" s="23">
        <f>B6*(B7+B8)</f>
        <v>14400</v>
      </c>
      <c r="C9" s="23">
        <f>C6*C7</f>
        <v>6400</v>
      </c>
      <c r="D9" s="23">
        <f>D6*D7</f>
        <v>17000</v>
      </c>
      <c r="E9" s="23">
        <f>E6*E7</f>
        <v>15000</v>
      </c>
      <c r="F9" s="23">
        <f>F6*F7</f>
        <v>2400</v>
      </c>
    </row>
    <row r="11" spans="1:7" x14ac:dyDescent="0.25">
      <c r="A11" s="21">
        <v>46127</v>
      </c>
      <c r="B11" s="23">
        <f>$B$9/4</f>
        <v>3600</v>
      </c>
      <c r="C11" s="23">
        <f>$C$9/4</f>
        <v>1600</v>
      </c>
      <c r="D11" s="23">
        <f>$D$9/4</f>
        <v>4250</v>
      </c>
      <c r="E11" s="23">
        <f>$E$9/4</f>
        <v>3750</v>
      </c>
      <c r="F11" s="23">
        <f>$F$9/4</f>
        <v>600</v>
      </c>
    </row>
    <row r="12" spans="1:7" x14ac:dyDescent="0.25">
      <c r="A12" s="21">
        <v>46157</v>
      </c>
      <c r="B12" s="23">
        <f t="shared" ref="B12:B14" si="0">$B$9/4</f>
        <v>3600</v>
      </c>
      <c r="C12" s="23">
        <f t="shared" ref="C12:C14" si="1">$C$9/4</f>
        <v>1600</v>
      </c>
      <c r="D12" s="23">
        <f t="shared" ref="D12:D14" si="2">$D$9/4</f>
        <v>4250</v>
      </c>
      <c r="E12" s="23">
        <f t="shared" ref="E12:E14" si="3">$E$9/4</f>
        <v>3750</v>
      </c>
      <c r="F12" s="23">
        <f t="shared" ref="F12:F14" si="4">$F$9/4</f>
        <v>600</v>
      </c>
    </row>
    <row r="13" spans="1:7" x14ac:dyDescent="0.25">
      <c r="A13" s="21">
        <v>46188</v>
      </c>
      <c r="B13" s="23">
        <f t="shared" si="0"/>
        <v>3600</v>
      </c>
      <c r="C13" s="23">
        <f t="shared" si="1"/>
        <v>1600</v>
      </c>
      <c r="D13" s="23">
        <f t="shared" si="2"/>
        <v>4250</v>
      </c>
      <c r="E13" s="23">
        <f t="shared" si="3"/>
        <v>3750</v>
      </c>
      <c r="F13" s="23">
        <f t="shared" si="4"/>
        <v>600</v>
      </c>
    </row>
    <row r="14" spans="1:7" x14ac:dyDescent="0.25">
      <c r="A14" s="21">
        <v>46218</v>
      </c>
      <c r="B14" s="23">
        <f t="shared" si="0"/>
        <v>3600</v>
      </c>
      <c r="C14" s="23">
        <f t="shared" si="1"/>
        <v>1600</v>
      </c>
      <c r="D14" s="23">
        <f t="shared" si="2"/>
        <v>4250</v>
      </c>
      <c r="E14" s="23">
        <f t="shared" si="3"/>
        <v>3750</v>
      </c>
      <c r="F14" s="23">
        <f t="shared" si="4"/>
        <v>600</v>
      </c>
    </row>
  </sheetData>
  <mergeCells count="2">
    <mergeCell ref="A2:C2"/>
    <mergeCell ref="A3:C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4DA5-A6EB-4F96-819E-011AF21AE133}">
  <dimension ref="A1"/>
  <sheetViews>
    <sheetView workbookViewId="0">
      <selection activeCell="J13" sqref="J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base receita coban</vt:lpstr>
      <vt:lpstr>Planilha4</vt:lpstr>
      <vt:lpstr>Base Comissões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AK2849</dc:creator>
  <cp:lastModifiedBy>AK2849</cp:lastModifiedBy>
  <dcterms:created xsi:type="dcterms:W3CDTF">2026-02-14T18:12:23Z</dcterms:created>
  <dcterms:modified xsi:type="dcterms:W3CDTF">2026-02-14T20:16:36Z</dcterms:modified>
</cp:coreProperties>
</file>